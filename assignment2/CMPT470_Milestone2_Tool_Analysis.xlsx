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rian\Documents\_Uni\_Y6T2\CMPT470\"/>
    </mc:Choice>
  </mc:AlternateContent>
  <xr:revisionPtr revIDLastSave="0" documentId="8_{CA30ED33-EC4C-4366-B833-63083E4E96C3}" xr6:coauthVersionLast="47" xr6:coauthVersionMax="47" xr10:uidLastSave="{00000000-0000-0000-0000-000000000000}"/>
  <bookViews>
    <workbookView xWindow="-28920" yWindow="-120" windowWidth="29040" windowHeight="15720" xr2:uid="{20E5657F-D7F7-4132-900B-598C32C8172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10" i="1"/>
  <c r="H12" i="1"/>
  <c r="H13" i="1"/>
  <c r="H14" i="1"/>
  <c r="Y20" i="1"/>
  <c r="Y19" i="1"/>
  <c r="Y18" i="1"/>
  <c r="Y17" i="1"/>
  <c r="Y16" i="1"/>
  <c r="Y15" i="1"/>
  <c r="X20" i="1"/>
  <c r="X19" i="1"/>
  <c r="X18" i="1"/>
  <c r="X17" i="1"/>
  <c r="X16" i="1"/>
  <c r="X15" i="1"/>
  <c r="E3" i="1"/>
  <c r="I27" i="1" s="1"/>
  <c r="D3" i="1"/>
  <c r="H16" i="1" s="1"/>
  <c r="E2" i="1"/>
  <c r="D2" i="1"/>
  <c r="C3" i="1"/>
  <c r="G22" i="1" s="1"/>
  <c r="C2" i="1"/>
  <c r="G23" i="1" l="1"/>
  <c r="H18" i="1"/>
  <c r="G25" i="1"/>
  <c r="G26" i="1"/>
  <c r="G11" i="1"/>
  <c r="I17" i="1"/>
  <c r="H17" i="1"/>
  <c r="G8" i="1"/>
  <c r="I12" i="1"/>
  <c r="H19" i="1"/>
  <c r="G10" i="1"/>
  <c r="H20" i="1"/>
  <c r="G27" i="1"/>
  <c r="I16" i="1"/>
  <c r="H23" i="1"/>
  <c r="G14" i="1"/>
  <c r="H24" i="1"/>
  <c r="I18" i="1"/>
  <c r="G7" i="1"/>
  <c r="I11" i="1"/>
  <c r="G24" i="1"/>
  <c r="G9" i="1"/>
  <c r="I13" i="1"/>
  <c r="I14" i="1"/>
  <c r="H21" i="1"/>
  <c r="I15" i="1"/>
  <c r="G12" i="1"/>
  <c r="H22" i="1"/>
  <c r="G13" i="1"/>
  <c r="G15" i="1"/>
  <c r="H9" i="1"/>
  <c r="H25" i="1"/>
  <c r="I19" i="1"/>
  <c r="G16" i="1"/>
  <c r="H26" i="1"/>
  <c r="I20" i="1"/>
  <c r="I21" i="1"/>
  <c r="G18" i="1"/>
  <c r="I6" i="1"/>
  <c r="I22" i="1"/>
  <c r="G19" i="1"/>
  <c r="I7" i="1"/>
  <c r="I23" i="1"/>
  <c r="G20" i="1"/>
  <c r="I8" i="1"/>
  <c r="I24" i="1"/>
  <c r="G21" i="1"/>
  <c r="H15" i="1"/>
  <c r="I9" i="1"/>
  <c r="I25" i="1"/>
  <c r="G17" i="1"/>
  <c r="H11" i="1"/>
  <c r="H27" i="1"/>
  <c r="G6" i="1"/>
  <c r="I10" i="1"/>
  <c r="I26" i="1"/>
</calcChain>
</file>

<file path=xl/sharedStrings.xml><?xml version="1.0" encoding="utf-8"?>
<sst xmlns="http://schemas.openxmlformats.org/spreadsheetml/2006/main" count="285" uniqueCount="97">
  <si>
    <t>max</t>
  </si>
  <si>
    <t>min</t>
  </si>
  <si>
    <t>Normalized</t>
  </si>
  <si>
    <t>Pylint</t>
  </si>
  <si>
    <t>Radon</t>
  </si>
  <si>
    <t>File</t>
  </si>
  <si>
    <t>Semgrep</t>
  </si>
  <si>
    <t>Issues</t>
  </si>
  <si>
    <t>Grades below A</t>
  </si>
  <si>
    <t>_client.py:</t>
  </si>
  <si>
    <t>httpx\__init__.py</t>
  </si>
  <si>
    <t>CC score</t>
  </si>
  <si>
    <t>Rank</t>
  </si>
  <si>
    <t>Risk</t>
  </si>
  <si>
    <t>Block type</t>
  </si>
  <si>
    <t>Letter</t>
  </si>
  <si>
    <t>_models.py:</t>
  </si>
  <si>
    <t>Grade</t>
  </si>
  <si>
    <t>A:</t>
  </si>
  <si>
    <t>1 - 5</t>
  </si>
  <si>
    <t>A</t>
  </si>
  <si>
    <t>low - simple block</t>
  </si>
  <si>
    <t>Function</t>
  </si>
  <si>
    <t>F</t>
  </si>
  <si>
    <t>_main.py:</t>
  </si>
  <si>
    <t>Total:</t>
  </si>
  <si>
    <t>6 - 10</t>
  </si>
  <si>
    <t>B</t>
  </si>
  <si>
    <t>low - well structured and stable block</t>
  </si>
  <si>
    <t>Method</t>
  </si>
  <si>
    <t>M</t>
  </si>
  <si>
    <t>default.py:</t>
  </si>
  <si>
    <t>11 - 20</t>
  </si>
  <si>
    <t>C</t>
  </si>
  <si>
    <t>moderate - slightly complex block</t>
  </si>
  <si>
    <t>Class</t>
  </si>
  <si>
    <t>__init__.py:</t>
  </si>
  <si>
    <t>httpx\_api.py</t>
  </si>
  <si>
    <t>21 - 30</t>
  </si>
  <si>
    <t>D</t>
  </si>
  <si>
    <t>more than moderate - more complex block</t>
  </si>
  <si>
    <t>_urlparse.py:</t>
  </si>
  <si>
    <t>31 - 40</t>
  </si>
  <si>
    <t>E</t>
  </si>
  <si>
    <t>high - complex block, alarming</t>
  </si>
  <si>
    <t>_urls.py:</t>
  </si>
  <si>
    <t>41+</t>
  </si>
  <si>
    <t>very high - error-prone, unstable bloc</t>
  </si>
  <si>
    <t>_multipart.py:</t>
  </si>
  <si>
    <t>_auth.py:</t>
  </si>
  <si>
    <t>httpx\_auth.py</t>
  </si>
  <si>
    <t>Num</t>
  </si>
  <si>
    <t>Total Overall</t>
  </si>
  <si>
    <t>_content.py:</t>
  </si>
  <si>
    <t>_utils.py:</t>
  </si>
  <si>
    <t>B:</t>
  </si>
  <si>
    <t>_decoders.py:</t>
  </si>
  <si>
    <t>_api.py:</t>
  </si>
  <si>
    <t>_config.py:</t>
  </si>
  <si>
    <t>httpx\_client.py</t>
  </si>
  <si>
    <t>asgi.py:</t>
  </si>
  <si>
    <t>wsgi.py:</t>
  </si>
  <si>
    <t>base.py:</t>
  </si>
  <si>
    <t>_types.py:</t>
  </si>
  <si>
    <t>_status_codes.py:</t>
  </si>
  <si>
    <t>httpx\_config.py</t>
  </si>
  <si>
    <t>mock.py:</t>
  </si>
  <si>
    <t>_exceptions.py:</t>
  </si>
  <si>
    <t>__version__.py:</t>
  </si>
  <si>
    <t>C:</t>
  </si>
  <si>
    <t>Execution time</t>
  </si>
  <si>
    <t>httpx\_content.py</t>
  </si>
  <si>
    <t>Issues:</t>
  </si>
  <si>
    <t>Issue</t>
  </si>
  <si>
    <t>Count</t>
  </si>
  <si>
    <t>dangerous-globals-use</t>
  </si>
  <si>
    <t>Convention</t>
  </si>
  <si>
    <t>insecure-hash-algorithms</t>
  </si>
  <si>
    <t>Warning</t>
  </si>
  <si>
    <t>httpx\_decoders.py</t>
  </si>
  <si>
    <t>Refactor</t>
  </si>
  <si>
    <t>Error</t>
  </si>
  <si>
    <t>httpx\_exceptions.py</t>
  </si>
  <si>
    <t>httpx\_main.py</t>
  </si>
  <si>
    <t>httpx\_models.py</t>
  </si>
  <si>
    <t>httpx\_multipart.py</t>
  </si>
  <si>
    <t>httpx\_status_codes.py</t>
  </si>
  <si>
    <t>httpx\_transports\asgi.py</t>
  </si>
  <si>
    <t>httpx\_transports\base.py</t>
  </si>
  <si>
    <t>httpx\_transports\default.py</t>
  </si>
  <si>
    <t>httpx\_transports\mock.py</t>
  </si>
  <si>
    <t>httpx\_transports\wsgi.py</t>
  </si>
  <si>
    <t>httpx\_types.py</t>
  </si>
  <si>
    <t>httpx\_urlparse.py</t>
  </si>
  <si>
    <t>F:</t>
  </si>
  <si>
    <t>httpx\_urls.py</t>
  </si>
  <si>
    <t>httpx\_utils.py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</si>
</sst>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1" fillId="0" borderId="1" xfId="0" applyFont="1" applyBorder="1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wrapText="1"/>
    </xf>
    <xf numFmtId="0" fontId="3" fillId="0" borderId="1" xfId="0" applyFont="1" applyBorder="1"/>
    <xf numFmtId="0" fontId="0" fillId="0" borderId="1" xfId="0" applyBorder="1"/>
    <xf numFmtId="2" fontId="0" fillId="0" borderId="0" xfId="0" applyNumberFormat="1"/>
    <xf numFmtId="164" fontId="0" fillId="0" borderId="2" xfId="1" applyNumberFormat="1" applyFont="1" applyBorder="1" applyAlignment="1">
      <alignment horizontal="center"/>
    </xf>
    <xf numFmtId="164" fontId="0" fillId="0" borderId="3" xfId="1" applyNumberFormat="1" applyFont="1" applyBorder="1" applyAlignment="1">
      <alignment horizontal="center"/>
    </xf>
    <xf numFmtId="0" fontId="0" fillId="0" borderId="4" xfId="0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0" fontId="0" fillId="0" borderId="5" xfId="0" applyBorder="1"/>
    <xf numFmtId="0" fontId="0" fillId="0" borderId="9" xfId="0" applyBorder="1"/>
    <xf numFmtId="0" fontId="0" fillId="0" borderId="10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Normalized Error Detections / 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Sheet1!$G$5</c:f>
              <c:strCache>
                <c:ptCount val="1"/>
                <c:pt idx="0">
                  <c:v>Semgrep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Sheet1!$F$6:$F$20</c:f>
              <c:strCache>
                <c:ptCount val="15"/>
                <c:pt idx="0">
                  <c:v>_client.py:</c:v>
                </c:pt>
                <c:pt idx="1">
                  <c:v>_models.py:</c:v>
                </c:pt>
                <c:pt idx="2">
                  <c:v>_main.py:</c:v>
                </c:pt>
                <c:pt idx="3">
                  <c:v>default.py:</c:v>
                </c:pt>
                <c:pt idx="4">
                  <c:v>__init__.py:</c:v>
                </c:pt>
                <c:pt idx="5">
                  <c:v>_urlparse.py:</c:v>
                </c:pt>
                <c:pt idx="6">
                  <c:v>_urls.py:</c:v>
                </c:pt>
                <c:pt idx="7">
                  <c:v>_multipart.py:</c:v>
                </c:pt>
                <c:pt idx="8">
                  <c:v>_auth.py:</c:v>
                </c:pt>
                <c:pt idx="9">
                  <c:v>_content.py:</c:v>
                </c:pt>
                <c:pt idx="10">
                  <c:v>_utils.py:</c:v>
                </c:pt>
                <c:pt idx="11">
                  <c:v>_decoders.py:</c:v>
                </c:pt>
                <c:pt idx="12">
                  <c:v>_api.py:</c:v>
                </c:pt>
                <c:pt idx="13">
                  <c:v>_config.py:</c:v>
                </c:pt>
                <c:pt idx="14">
                  <c:v>asgi.py:</c:v>
                </c:pt>
              </c:strCache>
            </c:strRef>
          </c:cat>
          <c:val>
            <c:numRef>
              <c:f>Sheet1!$G$6:$G$20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1-4519-BDA2-62CE9D40E9D4}"/>
            </c:ext>
          </c:extLst>
        </c:ser>
        <c:ser>
          <c:idx val="1"/>
          <c:order val="1"/>
          <c:tx>
            <c:strRef>
              <c:f>Sheet1!$H$5</c:f>
              <c:strCache>
                <c:ptCount val="1"/>
                <c:pt idx="0">
                  <c:v>Pylint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Sheet1!$F$6:$F$20</c:f>
              <c:strCache>
                <c:ptCount val="15"/>
                <c:pt idx="0">
                  <c:v>_client.py:</c:v>
                </c:pt>
                <c:pt idx="1">
                  <c:v>_models.py:</c:v>
                </c:pt>
                <c:pt idx="2">
                  <c:v>_main.py:</c:v>
                </c:pt>
                <c:pt idx="3">
                  <c:v>default.py:</c:v>
                </c:pt>
                <c:pt idx="4">
                  <c:v>__init__.py:</c:v>
                </c:pt>
                <c:pt idx="5">
                  <c:v>_urlparse.py:</c:v>
                </c:pt>
                <c:pt idx="6">
                  <c:v>_urls.py:</c:v>
                </c:pt>
                <c:pt idx="7">
                  <c:v>_multipart.py:</c:v>
                </c:pt>
                <c:pt idx="8">
                  <c:v>_auth.py:</c:v>
                </c:pt>
                <c:pt idx="9">
                  <c:v>_content.py:</c:v>
                </c:pt>
                <c:pt idx="10">
                  <c:v>_utils.py:</c:v>
                </c:pt>
                <c:pt idx="11">
                  <c:v>_decoders.py:</c:v>
                </c:pt>
                <c:pt idx="12">
                  <c:v>_api.py:</c:v>
                </c:pt>
                <c:pt idx="13">
                  <c:v>_config.py:</c:v>
                </c:pt>
                <c:pt idx="14">
                  <c:v>asgi.py:</c:v>
                </c:pt>
              </c:strCache>
            </c:strRef>
          </c:cat>
          <c:val>
            <c:numRef>
              <c:f>Sheet1!$H$6:$H$20</c:f>
              <c:numCache>
                <c:formatCode>0.00</c:formatCode>
                <c:ptCount val="15"/>
                <c:pt idx="0">
                  <c:v>1</c:v>
                </c:pt>
                <c:pt idx="1">
                  <c:v>0.98181818181818181</c:v>
                </c:pt>
                <c:pt idx="2">
                  <c:v>0.58181818181818179</c:v>
                </c:pt>
                <c:pt idx="3">
                  <c:v>0.5636363636363636</c:v>
                </c:pt>
                <c:pt idx="4">
                  <c:v>0.47272727272727272</c:v>
                </c:pt>
                <c:pt idx="5">
                  <c:v>0.38181818181818183</c:v>
                </c:pt>
                <c:pt idx="6">
                  <c:v>0.36363636363636365</c:v>
                </c:pt>
                <c:pt idx="7">
                  <c:v>0.32727272727272727</c:v>
                </c:pt>
                <c:pt idx="8">
                  <c:v>0.27272727272727271</c:v>
                </c:pt>
                <c:pt idx="9">
                  <c:v>0.25454545454545452</c:v>
                </c:pt>
                <c:pt idx="10">
                  <c:v>0.25454545454545452</c:v>
                </c:pt>
                <c:pt idx="11">
                  <c:v>0.23636363636363636</c:v>
                </c:pt>
                <c:pt idx="12">
                  <c:v>0.2</c:v>
                </c:pt>
                <c:pt idx="13">
                  <c:v>0.2</c:v>
                </c:pt>
                <c:pt idx="14">
                  <c:v>0.18181818181818182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81-4519-BDA2-62CE9D40E9D4}"/>
            </c:ext>
          </c:extLst>
        </c:ser>
        <c:ser>
          <c:idx val="2"/>
          <c:order val="2"/>
          <c:tx>
            <c:strRef>
              <c:f>Sheet1!$I$5</c:f>
              <c:strCache>
                <c:ptCount val="1"/>
                <c:pt idx="0">
                  <c:v>Radon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Sheet1!$F$6:$F$20</c:f>
              <c:strCache>
                <c:ptCount val="15"/>
                <c:pt idx="0">
                  <c:v>_client.py:</c:v>
                </c:pt>
                <c:pt idx="1">
                  <c:v>_models.py:</c:v>
                </c:pt>
                <c:pt idx="2">
                  <c:v>_main.py:</c:v>
                </c:pt>
                <c:pt idx="3">
                  <c:v>default.py:</c:v>
                </c:pt>
                <c:pt idx="4">
                  <c:v>__init__.py:</c:v>
                </c:pt>
                <c:pt idx="5">
                  <c:v>_urlparse.py:</c:v>
                </c:pt>
                <c:pt idx="6">
                  <c:v>_urls.py:</c:v>
                </c:pt>
                <c:pt idx="7">
                  <c:v>_multipart.py:</c:v>
                </c:pt>
                <c:pt idx="8">
                  <c:v>_auth.py:</c:v>
                </c:pt>
                <c:pt idx="9">
                  <c:v>_content.py:</c:v>
                </c:pt>
                <c:pt idx="10">
                  <c:v>_utils.py:</c:v>
                </c:pt>
                <c:pt idx="11">
                  <c:v>_decoders.py:</c:v>
                </c:pt>
                <c:pt idx="12">
                  <c:v>_api.py:</c:v>
                </c:pt>
                <c:pt idx="13">
                  <c:v>_config.py:</c:v>
                </c:pt>
                <c:pt idx="14">
                  <c:v>asgi.py:</c:v>
                </c:pt>
              </c:strCache>
            </c:strRef>
          </c:cat>
          <c:val>
            <c:numRef>
              <c:f>Sheet1!$I$6:$I$20</c:f>
              <c:numCache>
                <c:formatCode>0.00</c:formatCode>
                <c:ptCount val="15"/>
                <c:pt idx="0">
                  <c:v>0.3888888888888889</c:v>
                </c:pt>
                <c:pt idx="1">
                  <c:v>1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</c:v>
                </c:pt>
                <c:pt idx="5">
                  <c:v>0.22222222222222221</c:v>
                </c:pt>
                <c:pt idx="6">
                  <c:v>0.16666666666666666</c:v>
                </c:pt>
                <c:pt idx="7">
                  <c:v>0.16666666666666666</c:v>
                </c:pt>
                <c:pt idx="8">
                  <c:v>0.1111111111111111</c:v>
                </c:pt>
                <c:pt idx="9">
                  <c:v>0.22222222222222221</c:v>
                </c:pt>
                <c:pt idx="10">
                  <c:v>0.16666666666666666</c:v>
                </c:pt>
                <c:pt idx="11">
                  <c:v>0.16666666666666666</c:v>
                </c:pt>
                <c:pt idx="12">
                  <c:v>0</c:v>
                </c:pt>
                <c:pt idx="13">
                  <c:v>0.16666666666666666</c:v>
                </c:pt>
                <c:pt idx="14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81-4519-BDA2-62CE9D40E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24241584"/>
        <c:axId val="324242544"/>
      </c:barChart>
      <c:catAx>
        <c:axId val="32424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42544"/>
        <c:crosses val="autoZero"/>
        <c:auto val="1"/>
        <c:lblAlgn val="ctr"/>
        <c:lblOffset val="100"/>
        <c:noMultiLvlLbl val="0"/>
      </c:catAx>
      <c:valAx>
        <c:axId val="32424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4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388620</xdr:colOff>
      <xdr:row>27</xdr:row>
      <xdr:rowOff>171450</xdr:rowOff>
    </xdr:from>
    <xdr:to>
      <xdr:col>13</xdr:col>
      <xdr:colOff>141660</xdr:colOff>
      <xdr:row>44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F90023-F6C3-F6E6-0BBA-C1B9F00CA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3613-AFA2-4FEE-8680-2BD0252E2533}">
  <dimension ref="B2:AE108"/>
  <sheetViews>
    <sheetView tabSelected="1" workbookViewId="0">
      <selection activeCell="H19" sqref="H19"/>
    </sheetView>
  </sheetViews>
  <sheetFormatPr defaultRowHeight="15" x14ac:dyDescent="0.25"/>
  <cols>
    <col min="1" max="1" width="5.140625" customWidth="1"/>
    <col min="2" max="2" width="13.28515625" customWidth="1"/>
    <col min="4" max="4" width="6.140625" bestFit="1" customWidth="1"/>
    <col min="6" max="6" width="15.28515625" bestFit="1" customWidth="1"/>
    <col min="11" max="11" width="15.5703125" bestFit="1" customWidth="1"/>
    <col min="12" max="12" width="6.140625" bestFit="1" customWidth="1"/>
    <col min="13" max="13" width="6.140625" customWidth="1"/>
    <col min="14" max="14" width="15.28515625" bestFit="1" customWidth="1"/>
    <col min="15" max="15" width="8.85546875" customWidth="1"/>
    <col min="16" max="17" width="6.140625" customWidth="1"/>
    <col min="18" max="18" width="6.5703125" style="5" customWidth="1"/>
    <col min="19" max="19" width="3.5703125" style="5" customWidth="1"/>
    <col min="20" max="20" width="3.85546875" style="5" customWidth="1"/>
    <col min="21" max="21" width="6.140625" customWidth="1"/>
    <col min="23" max="23" width="8.28515625" bestFit="1" customWidth="1"/>
    <col min="24" max="24" width="5.42578125" bestFit="1" customWidth="1"/>
    <col min="25" max="25" width="39.140625" bestFit="1" customWidth="1"/>
  </cols>
  <sheetData>
    <row r="2" spans="2:31" x14ac:dyDescent="0.25">
      <c r="B2" t="s">
        <v>0</v>
      </c>
      <c r="C2">
        <f>MAX(C6:C27)</f>
        <v>1</v>
      </c>
      <c r="D2">
        <f t="shared" ref="D2:E2" si="0">MAX(D6:D27)</f>
        <v>56</v>
      </c>
      <c r="E2">
        <f t="shared" si="0"/>
        <v>18</v>
      </c>
    </row>
    <row r="3" spans="2:31" x14ac:dyDescent="0.25">
      <c r="B3" t="s">
        <v>1</v>
      </c>
      <c r="C3">
        <f>MIN(C6:C27)</f>
        <v>0</v>
      </c>
      <c r="D3">
        <f t="shared" ref="D3:E3" si="1">MIN(D6:D27)</f>
        <v>1</v>
      </c>
      <c r="E3">
        <f t="shared" si="1"/>
        <v>0</v>
      </c>
    </row>
    <row r="4" spans="2:31" x14ac:dyDescent="0.25">
      <c r="G4" t="s">
        <v>2</v>
      </c>
      <c r="I4" s="1"/>
      <c r="J4" s="1"/>
      <c r="K4" s="1" t="s">
        <v>3</v>
      </c>
      <c r="N4" t="s">
        <v>4</v>
      </c>
      <c r="R4" s="1"/>
      <c r="W4" s="1" t="s">
        <v>4</v>
      </c>
    </row>
    <row r="5" spans="2:31" ht="30" x14ac:dyDescent="0.25">
      <c r="B5" s="2" t="s">
        <v>5</v>
      </c>
      <c r="C5" s="8" t="s">
        <v>6</v>
      </c>
      <c r="D5" s="8" t="s">
        <v>3</v>
      </c>
      <c r="E5" s="8" t="s">
        <v>4</v>
      </c>
      <c r="F5" s="2" t="s">
        <v>5</v>
      </c>
      <c r="G5" s="8" t="s">
        <v>6</v>
      </c>
      <c r="H5" s="8" t="s">
        <v>3</v>
      </c>
      <c r="I5" s="8" t="s">
        <v>4</v>
      </c>
      <c r="K5" s="2" t="s">
        <v>5</v>
      </c>
      <c r="L5" s="2" t="s">
        <v>7</v>
      </c>
      <c r="M5" s="4"/>
      <c r="N5" s="2" t="s">
        <v>5</v>
      </c>
      <c r="O5" s="7" t="s">
        <v>8</v>
      </c>
      <c r="P5" s="4"/>
      <c r="Q5" s="4"/>
      <c r="R5" s="2" t="s">
        <v>5</v>
      </c>
      <c r="S5" s="2" t="s">
        <v>7</v>
      </c>
      <c r="T5" s="6"/>
      <c r="U5" s="4"/>
    </row>
    <row r="6" spans="2:31" x14ac:dyDescent="0.25">
      <c r="B6" t="s">
        <v>9</v>
      </c>
      <c r="C6">
        <v>0</v>
      </c>
      <c r="D6">
        <v>56</v>
      </c>
      <c r="E6">
        <v>7</v>
      </c>
      <c r="F6" t="s">
        <v>9</v>
      </c>
      <c r="G6">
        <f>(C6-$C$3)/($C$2-$C$3)</f>
        <v>0</v>
      </c>
      <c r="H6" s="10">
        <f>(D6-$D$3)/($D$2-$D$3)</f>
        <v>1</v>
      </c>
      <c r="I6" s="10">
        <f>(E6-$E$3)/($E$2-$E$3)</f>
        <v>0.3888888888888889</v>
      </c>
      <c r="K6" t="s">
        <v>9</v>
      </c>
      <c r="L6">
        <v>56</v>
      </c>
      <c r="N6" t="s">
        <v>9</v>
      </c>
      <c r="O6">
        <v>7</v>
      </c>
      <c r="R6" s="5" t="s">
        <v>10</v>
      </c>
      <c r="W6" t="s">
        <v>11</v>
      </c>
      <c r="X6" t="s">
        <v>12</v>
      </c>
      <c r="Y6" t="s">
        <v>13</v>
      </c>
      <c r="AD6" t="s">
        <v>14</v>
      </c>
      <c r="AE6" t="s">
        <v>15</v>
      </c>
    </row>
    <row r="7" spans="2:31" x14ac:dyDescent="0.25">
      <c r="B7" t="s">
        <v>16</v>
      </c>
      <c r="C7">
        <v>0</v>
      </c>
      <c r="D7">
        <v>55</v>
      </c>
      <c r="E7">
        <v>18</v>
      </c>
      <c r="F7" t="s">
        <v>16</v>
      </c>
      <c r="G7">
        <f t="shared" ref="G7:G27" si="2">(C7-$C$3)/($C$2-$C$3)</f>
        <v>0</v>
      </c>
      <c r="H7" s="10">
        <f>(D7-$D$3)/($D$2-$D$3)</f>
        <v>0.98181818181818181</v>
      </c>
      <c r="I7" s="10">
        <f t="shared" ref="I7:I27" si="3">(E7-$E$3)/($E$2-$E$3)</f>
        <v>1</v>
      </c>
      <c r="K7" t="s">
        <v>16</v>
      </c>
      <c r="L7">
        <v>55</v>
      </c>
      <c r="N7" t="s">
        <v>16</v>
      </c>
      <c r="O7">
        <v>18</v>
      </c>
      <c r="R7" s="5" t="s">
        <v>17</v>
      </c>
      <c r="S7" s="5" t="s">
        <v>18</v>
      </c>
      <c r="T7" s="5">
        <v>1</v>
      </c>
      <c r="W7" s="3" t="s">
        <v>19</v>
      </c>
      <c r="X7" t="s">
        <v>20</v>
      </c>
      <c r="Y7" t="s">
        <v>21</v>
      </c>
      <c r="AD7" t="s">
        <v>22</v>
      </c>
      <c r="AE7" t="s">
        <v>23</v>
      </c>
    </row>
    <row r="8" spans="2:31" x14ac:dyDescent="0.25">
      <c r="B8" t="s">
        <v>24</v>
      </c>
      <c r="C8">
        <v>0</v>
      </c>
      <c r="D8">
        <v>33</v>
      </c>
      <c r="E8">
        <v>3</v>
      </c>
      <c r="F8" t="s">
        <v>24</v>
      </c>
      <c r="G8">
        <f t="shared" si="2"/>
        <v>0</v>
      </c>
      <c r="H8" s="10">
        <f>(D8-$D$3)/($D$2-$D$3)</f>
        <v>0.58181818181818179</v>
      </c>
      <c r="I8" s="10">
        <f t="shared" si="3"/>
        <v>0.16666666666666666</v>
      </c>
      <c r="K8" t="s">
        <v>24</v>
      </c>
      <c r="L8">
        <v>33</v>
      </c>
      <c r="N8" t="s">
        <v>24</v>
      </c>
      <c r="O8">
        <v>3</v>
      </c>
      <c r="R8" s="5" t="s">
        <v>25</v>
      </c>
      <c r="S8" s="5">
        <v>1</v>
      </c>
      <c r="W8" s="3" t="s">
        <v>26</v>
      </c>
      <c r="X8" t="s">
        <v>27</v>
      </c>
      <c r="Y8" t="s">
        <v>28</v>
      </c>
      <c r="AD8" t="s">
        <v>29</v>
      </c>
      <c r="AE8" t="s">
        <v>30</v>
      </c>
    </row>
    <row r="9" spans="2:31" x14ac:dyDescent="0.25">
      <c r="B9" t="s">
        <v>31</v>
      </c>
      <c r="C9">
        <v>0</v>
      </c>
      <c r="D9">
        <v>32</v>
      </c>
      <c r="E9">
        <v>3</v>
      </c>
      <c r="F9" t="s">
        <v>31</v>
      </c>
      <c r="G9">
        <f t="shared" si="2"/>
        <v>0</v>
      </c>
      <c r="H9" s="10">
        <f t="shared" ref="H9:H27" si="4">(D9-$D$3)/($D$2-$D$3)</f>
        <v>0.5636363636363636</v>
      </c>
      <c r="I9" s="10">
        <f t="shared" si="3"/>
        <v>0.16666666666666666</v>
      </c>
      <c r="K9" t="s">
        <v>31</v>
      </c>
      <c r="L9">
        <v>32</v>
      </c>
      <c r="N9" t="s">
        <v>31</v>
      </c>
      <c r="O9">
        <v>3</v>
      </c>
      <c r="W9" s="3" t="s">
        <v>32</v>
      </c>
      <c r="X9" t="s">
        <v>33</v>
      </c>
      <c r="Y9" t="s">
        <v>34</v>
      </c>
      <c r="AD9" t="s">
        <v>35</v>
      </c>
      <c r="AE9" t="s">
        <v>33</v>
      </c>
    </row>
    <row r="10" spans="2:31" x14ac:dyDescent="0.25">
      <c r="B10" t="s">
        <v>36</v>
      </c>
      <c r="C10">
        <v>1</v>
      </c>
      <c r="D10">
        <v>27</v>
      </c>
      <c r="E10">
        <v>0</v>
      </c>
      <c r="F10" t="s">
        <v>36</v>
      </c>
      <c r="G10">
        <f t="shared" si="2"/>
        <v>1</v>
      </c>
      <c r="H10" s="10">
        <f>(D10-$D$3)/($D$2-$D$3)</f>
        <v>0.47272727272727272</v>
      </c>
      <c r="I10" s="10">
        <f t="shared" si="3"/>
        <v>0</v>
      </c>
      <c r="K10" t="s">
        <v>36</v>
      </c>
      <c r="L10">
        <v>27</v>
      </c>
      <c r="N10" t="s">
        <v>36</v>
      </c>
      <c r="O10">
        <v>0</v>
      </c>
      <c r="R10" s="5" t="s">
        <v>37</v>
      </c>
      <c r="W10" s="3" t="s">
        <v>38</v>
      </c>
      <c r="X10" t="s">
        <v>39</v>
      </c>
      <c r="Y10" t="s">
        <v>40</v>
      </c>
    </row>
    <row r="11" spans="2:31" x14ac:dyDescent="0.25">
      <c r="B11" t="s">
        <v>41</v>
      </c>
      <c r="C11">
        <v>0</v>
      </c>
      <c r="D11">
        <v>22</v>
      </c>
      <c r="E11">
        <v>4</v>
      </c>
      <c r="F11" t="s">
        <v>41</v>
      </c>
      <c r="G11">
        <f t="shared" si="2"/>
        <v>0</v>
      </c>
      <c r="H11" s="10">
        <f t="shared" si="4"/>
        <v>0.38181818181818183</v>
      </c>
      <c r="I11" s="10">
        <f t="shared" si="3"/>
        <v>0.22222222222222221</v>
      </c>
      <c r="K11" t="s">
        <v>41</v>
      </c>
      <c r="L11">
        <v>22</v>
      </c>
      <c r="N11" t="s">
        <v>41</v>
      </c>
      <c r="O11">
        <v>4</v>
      </c>
      <c r="R11" s="5" t="s">
        <v>17</v>
      </c>
      <c r="S11" s="5" t="s">
        <v>18</v>
      </c>
      <c r="T11" s="5">
        <v>9</v>
      </c>
      <c r="W11" s="3" t="s">
        <v>42</v>
      </c>
      <c r="X11" t="s">
        <v>43</v>
      </c>
      <c r="Y11" t="s">
        <v>44</v>
      </c>
    </row>
    <row r="12" spans="2:31" x14ac:dyDescent="0.25">
      <c r="B12" t="s">
        <v>45</v>
      </c>
      <c r="C12">
        <v>0</v>
      </c>
      <c r="D12">
        <v>21</v>
      </c>
      <c r="E12">
        <v>3</v>
      </c>
      <c r="F12" t="s">
        <v>45</v>
      </c>
      <c r="G12">
        <f t="shared" si="2"/>
        <v>0</v>
      </c>
      <c r="H12" s="10">
        <f>(D12-$D$3)/($D$2-$D$3)</f>
        <v>0.36363636363636365</v>
      </c>
      <c r="I12" s="10">
        <f t="shared" si="3"/>
        <v>0.16666666666666666</v>
      </c>
      <c r="K12" t="s">
        <v>45</v>
      </c>
      <c r="L12">
        <v>21</v>
      </c>
      <c r="N12" t="s">
        <v>45</v>
      </c>
      <c r="O12">
        <v>3</v>
      </c>
      <c r="R12" s="5" t="s">
        <v>25</v>
      </c>
      <c r="S12" s="5">
        <v>9</v>
      </c>
      <c r="W12" s="3" t="s">
        <v>46</v>
      </c>
      <c r="X12" t="s">
        <v>23</v>
      </c>
      <c r="Y12" t="s">
        <v>47</v>
      </c>
    </row>
    <row r="13" spans="2:31" ht="15.75" thickBot="1" x14ac:dyDescent="0.3">
      <c r="B13" t="s">
        <v>48</v>
      </c>
      <c r="C13">
        <v>0</v>
      </c>
      <c r="D13">
        <v>19</v>
      </c>
      <c r="E13">
        <v>3</v>
      </c>
      <c r="F13" t="s">
        <v>48</v>
      </c>
      <c r="G13">
        <f t="shared" si="2"/>
        <v>0</v>
      </c>
      <c r="H13" s="10">
        <f>(D13-$D$3)/($D$2-$D$3)</f>
        <v>0.32727272727272727</v>
      </c>
      <c r="I13" s="10">
        <f t="shared" si="3"/>
        <v>0.16666666666666666</v>
      </c>
      <c r="K13" t="s">
        <v>48</v>
      </c>
      <c r="L13">
        <v>19</v>
      </c>
      <c r="N13" t="s">
        <v>48</v>
      </c>
      <c r="O13">
        <v>3</v>
      </c>
    </row>
    <row r="14" spans="2:31" ht="15.75" thickBot="1" x14ac:dyDescent="0.3">
      <c r="B14" t="s">
        <v>49</v>
      </c>
      <c r="C14">
        <v>1</v>
      </c>
      <c r="D14">
        <v>16</v>
      </c>
      <c r="E14">
        <v>2</v>
      </c>
      <c r="F14" t="s">
        <v>49</v>
      </c>
      <c r="G14">
        <f t="shared" si="2"/>
        <v>1</v>
      </c>
      <c r="H14" s="10">
        <f>(D14-$D$3)/($D$2-$D$3)</f>
        <v>0.27272727272727271</v>
      </c>
      <c r="I14" s="10">
        <f t="shared" si="3"/>
        <v>0.1111111111111111</v>
      </c>
      <c r="K14" t="s">
        <v>49</v>
      </c>
      <c r="L14">
        <v>16</v>
      </c>
      <c r="N14" t="s">
        <v>49</v>
      </c>
      <c r="O14">
        <v>2</v>
      </c>
      <c r="R14" s="5" t="s">
        <v>50</v>
      </c>
      <c r="W14" s="14" t="s">
        <v>17</v>
      </c>
      <c r="X14" s="17" t="s">
        <v>51</v>
      </c>
      <c r="Y14" s="13" t="s">
        <v>52</v>
      </c>
    </row>
    <row r="15" spans="2:31" x14ac:dyDescent="0.25">
      <c r="B15" s="9" t="s">
        <v>53</v>
      </c>
      <c r="C15" s="9">
        <v>0</v>
      </c>
      <c r="D15" s="9">
        <v>15</v>
      </c>
      <c r="E15" s="9">
        <v>4</v>
      </c>
      <c r="F15" s="9" t="s">
        <v>53</v>
      </c>
      <c r="G15">
        <f t="shared" si="2"/>
        <v>0</v>
      </c>
      <c r="H15" s="10">
        <f t="shared" si="4"/>
        <v>0.25454545454545452</v>
      </c>
      <c r="I15" s="10">
        <f t="shared" si="3"/>
        <v>0.22222222222222221</v>
      </c>
      <c r="K15" t="s">
        <v>53</v>
      </c>
      <c r="L15">
        <v>15</v>
      </c>
      <c r="N15" t="s">
        <v>53</v>
      </c>
      <c r="O15">
        <v>4</v>
      </c>
      <c r="R15" s="5" t="s">
        <v>17</v>
      </c>
      <c r="S15" s="5" t="s">
        <v>18</v>
      </c>
      <c r="T15" s="5">
        <v>22</v>
      </c>
      <c r="W15" s="15" t="s">
        <v>20</v>
      </c>
      <c r="X15" s="18">
        <f>SUMIF(S:S, "A:", T:T)</f>
        <v>462</v>
      </c>
      <c r="Y15" s="11">
        <f>(X15/SUM(X15:X20))</f>
        <v>0.88505747126436785</v>
      </c>
    </row>
    <row r="16" spans="2:31" x14ac:dyDescent="0.25">
      <c r="B16" t="s">
        <v>54</v>
      </c>
      <c r="C16">
        <v>0</v>
      </c>
      <c r="D16">
        <v>15</v>
      </c>
      <c r="E16">
        <v>3</v>
      </c>
      <c r="F16" t="s">
        <v>54</v>
      </c>
      <c r="G16">
        <f t="shared" si="2"/>
        <v>0</v>
      </c>
      <c r="H16" s="10">
        <f t="shared" si="4"/>
        <v>0.25454545454545452</v>
      </c>
      <c r="I16" s="10">
        <f t="shared" si="3"/>
        <v>0.16666666666666666</v>
      </c>
      <c r="K16" t="s">
        <v>54</v>
      </c>
      <c r="L16">
        <v>15</v>
      </c>
      <c r="N16" t="s">
        <v>54</v>
      </c>
      <c r="O16">
        <v>3</v>
      </c>
      <c r="R16" s="5" t="s">
        <v>17</v>
      </c>
      <c r="S16" s="5" t="s">
        <v>55</v>
      </c>
      <c r="T16" s="5">
        <v>2</v>
      </c>
      <c r="W16" s="15" t="s">
        <v>27</v>
      </c>
      <c r="X16" s="18">
        <f>SUMIF(S:S, "B:", T:T)</f>
        <v>52</v>
      </c>
      <c r="Y16" s="11">
        <f>(X16/SUM(X15:X20))</f>
        <v>9.9616858237547887E-2</v>
      </c>
    </row>
    <row r="17" spans="2:25" x14ac:dyDescent="0.25">
      <c r="B17" t="s">
        <v>56</v>
      </c>
      <c r="C17">
        <v>0</v>
      </c>
      <c r="D17">
        <v>14</v>
      </c>
      <c r="E17">
        <v>3</v>
      </c>
      <c r="F17" t="s">
        <v>56</v>
      </c>
      <c r="G17">
        <f t="shared" si="2"/>
        <v>0</v>
      </c>
      <c r="H17" s="10">
        <f t="shared" si="4"/>
        <v>0.23636363636363636</v>
      </c>
      <c r="I17" s="10">
        <f t="shared" si="3"/>
        <v>0.16666666666666666</v>
      </c>
      <c r="K17" t="s">
        <v>56</v>
      </c>
      <c r="L17">
        <v>14</v>
      </c>
      <c r="N17" t="s">
        <v>56</v>
      </c>
      <c r="O17">
        <v>3</v>
      </c>
      <c r="R17" s="5" t="s">
        <v>25</v>
      </c>
      <c r="S17" s="5">
        <v>24</v>
      </c>
      <c r="W17" s="15" t="s">
        <v>33</v>
      </c>
      <c r="X17" s="18">
        <f>SUMIF(S:S, "C:", T:T)</f>
        <v>7</v>
      </c>
      <c r="Y17" s="11">
        <f>(X17/SUM(X15:X20))</f>
        <v>1.3409961685823755E-2</v>
      </c>
    </row>
    <row r="18" spans="2:25" x14ac:dyDescent="0.25">
      <c r="B18" t="s">
        <v>57</v>
      </c>
      <c r="C18">
        <v>0</v>
      </c>
      <c r="D18">
        <v>12</v>
      </c>
      <c r="E18">
        <v>0</v>
      </c>
      <c r="F18" t="s">
        <v>57</v>
      </c>
      <c r="G18">
        <f t="shared" si="2"/>
        <v>0</v>
      </c>
      <c r="H18" s="10">
        <f t="shared" si="4"/>
        <v>0.2</v>
      </c>
      <c r="I18" s="10">
        <f t="shared" si="3"/>
        <v>0</v>
      </c>
      <c r="K18" t="s">
        <v>57</v>
      </c>
      <c r="L18">
        <v>12</v>
      </c>
      <c r="N18" t="s">
        <v>57</v>
      </c>
      <c r="O18">
        <v>0</v>
      </c>
      <c r="W18" s="15" t="s">
        <v>39</v>
      </c>
      <c r="X18" s="18">
        <f>SUMIF(S:S, "D:", T:T)</f>
        <v>0</v>
      </c>
      <c r="Y18" s="11">
        <f>(X18/SUM(X15:X20))</f>
        <v>0</v>
      </c>
    </row>
    <row r="19" spans="2:25" x14ac:dyDescent="0.25">
      <c r="B19" t="s">
        <v>58</v>
      </c>
      <c r="C19">
        <v>0</v>
      </c>
      <c r="D19">
        <v>12</v>
      </c>
      <c r="E19">
        <v>3</v>
      </c>
      <c r="F19" t="s">
        <v>58</v>
      </c>
      <c r="G19">
        <f t="shared" si="2"/>
        <v>0</v>
      </c>
      <c r="H19" s="10">
        <f t="shared" si="4"/>
        <v>0.2</v>
      </c>
      <c r="I19" s="10">
        <f t="shared" si="3"/>
        <v>0.16666666666666666</v>
      </c>
      <c r="K19" t="s">
        <v>58</v>
      </c>
      <c r="L19">
        <v>12</v>
      </c>
      <c r="N19" t="s">
        <v>58</v>
      </c>
      <c r="O19">
        <v>3</v>
      </c>
      <c r="R19" s="5" t="s">
        <v>59</v>
      </c>
      <c r="W19" s="15" t="s">
        <v>43</v>
      </c>
      <c r="X19" s="18">
        <f>SUMIF(S:S, "E:", T:T)</f>
        <v>0</v>
      </c>
      <c r="Y19" s="11">
        <f>(X19/SUM(X15:X20))</f>
        <v>0</v>
      </c>
    </row>
    <row r="20" spans="2:25" ht="15.75" thickBot="1" x14ac:dyDescent="0.3">
      <c r="B20" s="9" t="s">
        <v>60</v>
      </c>
      <c r="C20" s="9">
        <v>0</v>
      </c>
      <c r="D20" s="9">
        <v>11</v>
      </c>
      <c r="E20" s="9">
        <v>2</v>
      </c>
      <c r="F20" s="9" t="s">
        <v>60</v>
      </c>
      <c r="G20">
        <f t="shared" si="2"/>
        <v>0</v>
      </c>
      <c r="H20" s="10">
        <f t="shared" si="4"/>
        <v>0.18181818181818182</v>
      </c>
      <c r="I20" s="10">
        <f t="shared" si="3"/>
        <v>0.1111111111111111</v>
      </c>
      <c r="K20" t="s">
        <v>60</v>
      </c>
      <c r="L20">
        <v>11</v>
      </c>
      <c r="N20" t="s">
        <v>60</v>
      </c>
      <c r="O20">
        <v>2</v>
      </c>
      <c r="R20" s="5" t="s">
        <v>17</v>
      </c>
      <c r="S20" s="5" t="s">
        <v>18</v>
      </c>
      <c r="T20" s="5">
        <v>81</v>
      </c>
      <c r="W20" s="16" t="s">
        <v>23</v>
      </c>
      <c r="X20" s="19">
        <f>SUMIF(S:S, "F:", T:T)</f>
        <v>1</v>
      </c>
      <c r="Y20" s="12">
        <f>(X20/SUM(X15:X20))</f>
        <v>1.9157088122605363E-3</v>
      </c>
    </row>
    <row r="21" spans="2:25" x14ac:dyDescent="0.25">
      <c r="B21" t="s">
        <v>61</v>
      </c>
      <c r="C21">
        <v>0</v>
      </c>
      <c r="D21">
        <v>9</v>
      </c>
      <c r="E21">
        <v>2</v>
      </c>
      <c r="F21" t="s">
        <v>61</v>
      </c>
      <c r="G21">
        <f t="shared" si="2"/>
        <v>0</v>
      </c>
      <c r="H21" s="10">
        <f t="shared" si="4"/>
        <v>0.14545454545454545</v>
      </c>
      <c r="I21" s="10">
        <f t="shared" si="3"/>
        <v>0.1111111111111111</v>
      </c>
      <c r="K21" t="s">
        <v>61</v>
      </c>
      <c r="L21">
        <v>9</v>
      </c>
      <c r="N21" t="s">
        <v>61</v>
      </c>
      <c r="O21">
        <v>2</v>
      </c>
      <c r="R21" s="5" t="s">
        <v>17</v>
      </c>
      <c r="S21" s="5" t="s">
        <v>55</v>
      </c>
      <c r="T21" s="5">
        <v>7</v>
      </c>
    </row>
    <row r="22" spans="2:25" x14ac:dyDescent="0.25">
      <c r="B22" t="s">
        <v>62</v>
      </c>
      <c r="C22">
        <v>0</v>
      </c>
      <c r="D22">
        <v>6</v>
      </c>
      <c r="E22">
        <v>0</v>
      </c>
      <c r="F22" t="s">
        <v>62</v>
      </c>
      <c r="G22">
        <f t="shared" si="2"/>
        <v>0</v>
      </c>
      <c r="H22" s="10">
        <f t="shared" si="4"/>
        <v>9.0909090909090912E-2</v>
      </c>
      <c r="I22" s="10">
        <f t="shared" si="3"/>
        <v>0</v>
      </c>
      <c r="K22" t="s">
        <v>62</v>
      </c>
      <c r="L22">
        <v>6</v>
      </c>
      <c r="N22" t="s">
        <v>62</v>
      </c>
      <c r="O22">
        <v>0</v>
      </c>
      <c r="R22" s="5" t="s">
        <v>25</v>
      </c>
      <c r="S22" s="5">
        <v>88</v>
      </c>
    </row>
    <row r="23" spans="2:25" x14ac:dyDescent="0.25">
      <c r="B23" t="s">
        <v>63</v>
      </c>
      <c r="C23">
        <v>0</v>
      </c>
      <c r="D23">
        <v>5</v>
      </c>
      <c r="E23">
        <v>0</v>
      </c>
      <c r="F23" t="s">
        <v>63</v>
      </c>
      <c r="G23">
        <f t="shared" si="2"/>
        <v>0</v>
      </c>
      <c r="H23" s="10">
        <f t="shared" si="4"/>
        <v>7.2727272727272724E-2</v>
      </c>
      <c r="I23" s="10">
        <f t="shared" si="3"/>
        <v>0</v>
      </c>
      <c r="K23" t="s">
        <v>63</v>
      </c>
      <c r="L23">
        <v>5</v>
      </c>
      <c r="N23" t="s">
        <v>63</v>
      </c>
      <c r="O23">
        <v>0</v>
      </c>
    </row>
    <row r="24" spans="2:25" x14ac:dyDescent="0.25">
      <c r="B24" t="s">
        <v>64</v>
      </c>
      <c r="C24">
        <v>0</v>
      </c>
      <c r="D24">
        <v>4</v>
      </c>
      <c r="E24">
        <v>0</v>
      </c>
      <c r="F24" t="s">
        <v>64</v>
      </c>
      <c r="G24">
        <f t="shared" si="2"/>
        <v>0</v>
      </c>
      <c r="H24" s="10">
        <f t="shared" si="4"/>
        <v>5.4545454545454543E-2</v>
      </c>
      <c r="I24" s="10">
        <f t="shared" si="3"/>
        <v>0</v>
      </c>
      <c r="K24" t="s">
        <v>64</v>
      </c>
      <c r="L24">
        <v>4</v>
      </c>
      <c r="N24" t="s">
        <v>64</v>
      </c>
      <c r="O24">
        <v>0</v>
      </c>
      <c r="R24" s="5" t="s">
        <v>65</v>
      </c>
    </row>
    <row r="25" spans="2:25" x14ac:dyDescent="0.25">
      <c r="B25" t="s">
        <v>66</v>
      </c>
      <c r="C25">
        <v>0</v>
      </c>
      <c r="D25">
        <v>2</v>
      </c>
      <c r="E25">
        <v>0</v>
      </c>
      <c r="F25" t="s">
        <v>66</v>
      </c>
      <c r="G25">
        <f t="shared" si="2"/>
        <v>0</v>
      </c>
      <c r="H25" s="10">
        <f t="shared" si="4"/>
        <v>1.8181818181818181E-2</v>
      </c>
      <c r="I25" s="10">
        <f t="shared" si="3"/>
        <v>0</v>
      </c>
      <c r="K25" t="s">
        <v>66</v>
      </c>
      <c r="L25">
        <v>2</v>
      </c>
      <c r="N25" t="s">
        <v>66</v>
      </c>
      <c r="O25">
        <v>0</v>
      </c>
      <c r="R25" s="5" t="s">
        <v>17</v>
      </c>
      <c r="S25" s="5" t="s">
        <v>18</v>
      </c>
      <c r="T25" s="5">
        <v>12</v>
      </c>
    </row>
    <row r="26" spans="2:25" x14ac:dyDescent="0.25">
      <c r="B26" t="s">
        <v>67</v>
      </c>
      <c r="C26">
        <v>0</v>
      </c>
      <c r="D26">
        <v>1</v>
      </c>
      <c r="E26">
        <v>0</v>
      </c>
      <c r="F26" t="s">
        <v>67</v>
      </c>
      <c r="G26">
        <f t="shared" si="2"/>
        <v>0</v>
      </c>
      <c r="H26" s="10">
        <f t="shared" si="4"/>
        <v>0</v>
      </c>
      <c r="I26" s="10">
        <f t="shared" si="3"/>
        <v>0</v>
      </c>
      <c r="K26" t="s">
        <v>67</v>
      </c>
      <c r="L26">
        <v>1</v>
      </c>
      <c r="N26" t="s">
        <v>67</v>
      </c>
      <c r="O26">
        <v>0</v>
      </c>
      <c r="R26" s="5" t="s">
        <v>17</v>
      </c>
      <c r="S26" s="5" t="s">
        <v>55</v>
      </c>
      <c r="T26" s="5">
        <v>1</v>
      </c>
    </row>
    <row r="27" spans="2:25" x14ac:dyDescent="0.25">
      <c r="B27" t="s">
        <v>68</v>
      </c>
      <c r="C27">
        <v>0</v>
      </c>
      <c r="D27">
        <v>1</v>
      </c>
      <c r="E27">
        <v>0</v>
      </c>
      <c r="F27" t="s">
        <v>68</v>
      </c>
      <c r="G27">
        <f t="shared" si="2"/>
        <v>0</v>
      </c>
      <c r="H27" s="10">
        <f t="shared" si="4"/>
        <v>0</v>
      </c>
      <c r="I27" s="10">
        <f t="shared" si="3"/>
        <v>0</v>
      </c>
      <c r="K27" t="s">
        <v>68</v>
      </c>
      <c r="L27">
        <v>1</v>
      </c>
      <c r="N27" t="s">
        <v>68</v>
      </c>
      <c r="O27">
        <v>0</v>
      </c>
      <c r="R27" s="5" t="s">
        <v>17</v>
      </c>
      <c r="S27" s="5" t="s">
        <v>69</v>
      </c>
      <c r="T27" s="5">
        <v>2</v>
      </c>
    </row>
    <row r="28" spans="2:25" x14ac:dyDescent="0.25">
      <c r="H28" s="10"/>
      <c r="R28" s="5" t="s">
        <v>25</v>
      </c>
      <c r="S28" s="5">
        <v>15</v>
      </c>
    </row>
    <row r="29" spans="2:25" x14ac:dyDescent="0.25">
      <c r="B29" t="s">
        <v>70</v>
      </c>
      <c r="C29">
        <v>28.6</v>
      </c>
      <c r="D29">
        <v>10.199999999999999</v>
      </c>
      <c r="K29" t="s">
        <v>70</v>
      </c>
      <c r="L29">
        <v>10.199999999999999</v>
      </c>
    </row>
    <row r="30" spans="2:25" x14ac:dyDescent="0.25">
      <c r="R30" s="5" t="s">
        <v>71</v>
      </c>
    </row>
    <row r="31" spans="2:25" x14ac:dyDescent="0.25">
      <c r="B31" t="s">
        <v>72</v>
      </c>
      <c r="C31">
        <v>2</v>
      </c>
      <c r="D31">
        <v>388</v>
      </c>
      <c r="K31" t="s">
        <v>72</v>
      </c>
      <c r="L31">
        <v>388</v>
      </c>
      <c r="R31" s="5" t="s">
        <v>17</v>
      </c>
      <c r="S31" s="5" t="s">
        <v>18</v>
      </c>
      <c r="T31" s="5">
        <v>17</v>
      </c>
    </row>
    <row r="32" spans="2:25" x14ac:dyDescent="0.25">
      <c r="R32" s="5" t="s">
        <v>17</v>
      </c>
      <c r="S32" s="5" t="s">
        <v>55</v>
      </c>
      <c r="T32" s="5">
        <v>4</v>
      </c>
    </row>
    <row r="33" spans="2:20" x14ac:dyDescent="0.25">
      <c r="B33" t="s">
        <v>73</v>
      </c>
      <c r="C33" t="s">
        <v>74</v>
      </c>
      <c r="D33" t="s">
        <v>74</v>
      </c>
      <c r="K33" t="s">
        <v>73</v>
      </c>
      <c r="L33" t="s">
        <v>74</v>
      </c>
      <c r="R33" s="5" t="s">
        <v>25</v>
      </c>
      <c r="S33" s="5">
        <v>21</v>
      </c>
    </row>
    <row r="34" spans="2:20" x14ac:dyDescent="0.25">
      <c r="B34" t="s">
        <v>75</v>
      </c>
      <c r="C34">
        <v>1</v>
      </c>
      <c r="D34">
        <v>183</v>
      </c>
      <c r="K34" t="s">
        <v>76</v>
      </c>
      <c r="L34">
        <v>183</v>
      </c>
    </row>
    <row r="35" spans="2:20" x14ac:dyDescent="0.25">
      <c r="B35" t="s">
        <v>77</v>
      </c>
      <c r="C35">
        <v>1</v>
      </c>
      <c r="D35">
        <v>58</v>
      </c>
      <c r="K35" t="s">
        <v>78</v>
      </c>
      <c r="L35">
        <v>58</v>
      </c>
      <c r="R35" s="5" t="s">
        <v>79</v>
      </c>
    </row>
    <row r="36" spans="2:20" x14ac:dyDescent="0.25">
      <c r="D36">
        <v>126</v>
      </c>
      <c r="K36" t="s">
        <v>80</v>
      </c>
      <c r="L36">
        <v>126</v>
      </c>
      <c r="R36" s="5" t="s">
        <v>17</v>
      </c>
      <c r="S36" s="5" t="s">
        <v>18</v>
      </c>
      <c r="T36" s="5">
        <v>39</v>
      </c>
    </row>
    <row r="37" spans="2:20" x14ac:dyDescent="0.25">
      <c r="D37">
        <v>21</v>
      </c>
      <c r="K37" t="s">
        <v>81</v>
      </c>
      <c r="L37">
        <v>21</v>
      </c>
      <c r="R37" s="5" t="s">
        <v>17</v>
      </c>
      <c r="S37" s="5" t="s">
        <v>55</v>
      </c>
      <c r="T37" s="5">
        <v>3</v>
      </c>
    </row>
    <row r="38" spans="2:20" x14ac:dyDescent="0.25">
      <c r="R38" s="5" t="s">
        <v>25</v>
      </c>
      <c r="S38" s="5">
        <v>42</v>
      </c>
    </row>
    <row r="40" spans="2:20" x14ac:dyDescent="0.25">
      <c r="R40" s="5" t="s">
        <v>82</v>
      </c>
    </row>
    <row r="41" spans="2:20" x14ac:dyDescent="0.25">
      <c r="R41" s="5" t="s">
        <v>17</v>
      </c>
      <c r="S41" s="5" t="s">
        <v>18</v>
      </c>
      <c r="T41" s="5">
        <v>41</v>
      </c>
    </row>
    <row r="42" spans="2:20" x14ac:dyDescent="0.25">
      <c r="R42" s="5" t="s">
        <v>25</v>
      </c>
      <c r="S42" s="5">
        <v>41</v>
      </c>
    </row>
    <row r="44" spans="2:20" x14ac:dyDescent="0.25">
      <c r="R44" s="5" t="s">
        <v>83</v>
      </c>
    </row>
    <row r="45" spans="2:20" x14ac:dyDescent="0.25">
      <c r="R45" s="5" t="s">
        <v>17</v>
      </c>
      <c r="S45" s="5" t="s">
        <v>18</v>
      </c>
      <c r="T45" s="5">
        <v>11</v>
      </c>
    </row>
    <row r="46" spans="2:20" x14ac:dyDescent="0.25">
      <c r="R46" s="5" t="s">
        <v>17</v>
      </c>
      <c r="S46" s="5" t="s">
        <v>55</v>
      </c>
      <c r="T46" s="5">
        <v>2</v>
      </c>
    </row>
    <row r="47" spans="2:20" x14ac:dyDescent="0.25">
      <c r="R47" s="5" t="s">
        <v>17</v>
      </c>
      <c r="S47" s="5" t="s">
        <v>69</v>
      </c>
      <c r="T47" s="5">
        <v>1</v>
      </c>
    </row>
    <row r="48" spans="2:20" x14ac:dyDescent="0.25">
      <c r="R48" s="5" t="s">
        <v>25</v>
      </c>
      <c r="S48" s="5">
        <v>14</v>
      </c>
    </row>
    <row r="50" spans="18:20" x14ac:dyDescent="0.25">
      <c r="R50" s="5" t="s">
        <v>84</v>
      </c>
    </row>
    <row r="51" spans="18:20" x14ac:dyDescent="0.25">
      <c r="R51" s="5" t="s">
        <v>17</v>
      </c>
      <c r="S51" s="5" t="s">
        <v>18</v>
      </c>
      <c r="T51" s="5">
        <v>77</v>
      </c>
    </row>
    <row r="52" spans="18:20" x14ac:dyDescent="0.25">
      <c r="R52" s="5" t="s">
        <v>17</v>
      </c>
      <c r="S52" s="5" t="s">
        <v>55</v>
      </c>
      <c r="T52" s="5">
        <v>18</v>
      </c>
    </row>
    <row r="53" spans="18:20" x14ac:dyDescent="0.25">
      <c r="R53" s="5" t="s">
        <v>25</v>
      </c>
      <c r="S53" s="5">
        <v>95</v>
      </c>
    </row>
    <row r="55" spans="18:20" x14ac:dyDescent="0.25">
      <c r="R55" s="5" t="s">
        <v>85</v>
      </c>
    </row>
    <row r="56" spans="18:20" x14ac:dyDescent="0.25">
      <c r="R56" s="5" t="s">
        <v>17</v>
      </c>
      <c r="S56" s="5" t="s">
        <v>18</v>
      </c>
      <c r="T56" s="5">
        <v>20</v>
      </c>
    </row>
    <row r="57" spans="18:20" x14ac:dyDescent="0.25">
      <c r="R57" s="5" t="s">
        <v>17</v>
      </c>
      <c r="S57" s="5" t="s">
        <v>55</v>
      </c>
      <c r="T57" s="5">
        <v>3</v>
      </c>
    </row>
    <row r="58" spans="18:20" x14ac:dyDescent="0.25">
      <c r="R58" s="5" t="s">
        <v>25</v>
      </c>
      <c r="S58" s="5">
        <v>23</v>
      </c>
    </row>
    <row r="60" spans="18:20" x14ac:dyDescent="0.25">
      <c r="R60" s="5" t="s">
        <v>86</v>
      </c>
    </row>
    <row r="61" spans="18:20" x14ac:dyDescent="0.25">
      <c r="R61" s="5" t="s">
        <v>17</v>
      </c>
      <c r="S61" s="5" t="s">
        <v>18</v>
      </c>
      <c r="T61" s="5">
        <v>10</v>
      </c>
    </row>
    <row r="62" spans="18:20" x14ac:dyDescent="0.25">
      <c r="R62" s="5" t="s">
        <v>25</v>
      </c>
      <c r="S62" s="5">
        <v>10</v>
      </c>
    </row>
    <row r="64" spans="18:20" x14ac:dyDescent="0.25">
      <c r="R64" s="5" t="s">
        <v>87</v>
      </c>
    </row>
    <row r="65" spans="18:20" x14ac:dyDescent="0.25">
      <c r="R65" s="5" t="s">
        <v>17</v>
      </c>
      <c r="S65" s="5" t="s">
        <v>18</v>
      </c>
      <c r="T65" s="5">
        <v>6</v>
      </c>
    </row>
    <row r="66" spans="18:20" x14ac:dyDescent="0.25">
      <c r="R66" s="5" t="s">
        <v>17</v>
      </c>
      <c r="S66" s="5" t="s">
        <v>55</v>
      </c>
      <c r="T66" s="5">
        <v>2</v>
      </c>
    </row>
    <row r="67" spans="18:20" x14ac:dyDescent="0.25">
      <c r="R67" s="5" t="s">
        <v>25</v>
      </c>
      <c r="S67" s="5">
        <v>8</v>
      </c>
    </row>
    <row r="69" spans="18:20" x14ac:dyDescent="0.25">
      <c r="R69" s="5" t="s">
        <v>88</v>
      </c>
    </row>
    <row r="70" spans="18:20" x14ac:dyDescent="0.25">
      <c r="R70" s="5" t="s">
        <v>17</v>
      </c>
      <c r="S70" s="5" t="s">
        <v>18</v>
      </c>
      <c r="T70" s="5">
        <v>10</v>
      </c>
    </row>
    <row r="71" spans="18:20" x14ac:dyDescent="0.25">
      <c r="R71" s="5" t="s">
        <v>25</v>
      </c>
      <c r="S71" s="5">
        <v>10</v>
      </c>
    </row>
    <row r="73" spans="18:20" x14ac:dyDescent="0.25">
      <c r="R73" s="5" t="s">
        <v>89</v>
      </c>
    </row>
    <row r="74" spans="18:20" x14ac:dyDescent="0.25">
      <c r="R74" s="5" t="s">
        <v>17</v>
      </c>
      <c r="S74" s="5" t="s">
        <v>18</v>
      </c>
      <c r="T74" s="5">
        <v>19</v>
      </c>
    </row>
    <row r="75" spans="18:20" x14ac:dyDescent="0.25">
      <c r="R75" s="5" t="s">
        <v>17</v>
      </c>
      <c r="S75" s="5" t="s">
        <v>55</v>
      </c>
      <c r="T75" s="5">
        <v>3</v>
      </c>
    </row>
    <row r="76" spans="18:20" x14ac:dyDescent="0.25">
      <c r="R76" s="5" t="s">
        <v>25</v>
      </c>
      <c r="S76" s="5">
        <v>22</v>
      </c>
    </row>
    <row r="78" spans="18:20" x14ac:dyDescent="0.25">
      <c r="R78" s="5" t="s">
        <v>90</v>
      </c>
    </row>
    <row r="79" spans="18:20" x14ac:dyDescent="0.25">
      <c r="R79" s="5" t="s">
        <v>17</v>
      </c>
      <c r="S79" s="5" t="s">
        <v>18</v>
      </c>
      <c r="T79" s="5">
        <v>4</v>
      </c>
    </row>
    <row r="80" spans="18:20" x14ac:dyDescent="0.25">
      <c r="R80" s="5" t="s">
        <v>25</v>
      </c>
      <c r="S80" s="5">
        <v>4</v>
      </c>
    </row>
    <row r="82" spans="18:20" x14ac:dyDescent="0.25">
      <c r="R82" s="5" t="s">
        <v>91</v>
      </c>
    </row>
    <row r="83" spans="18:20" x14ac:dyDescent="0.25">
      <c r="R83" s="5" t="s">
        <v>17</v>
      </c>
      <c r="S83" s="5" t="s">
        <v>18</v>
      </c>
      <c r="T83" s="5">
        <v>6</v>
      </c>
    </row>
    <row r="84" spans="18:20" x14ac:dyDescent="0.25">
      <c r="R84" s="5" t="s">
        <v>17</v>
      </c>
      <c r="S84" s="5" t="s">
        <v>55</v>
      </c>
      <c r="T84" s="5">
        <v>1</v>
      </c>
    </row>
    <row r="85" spans="18:20" x14ac:dyDescent="0.25">
      <c r="R85" s="5" t="s">
        <v>17</v>
      </c>
      <c r="S85" s="5" t="s">
        <v>69</v>
      </c>
      <c r="T85" s="5">
        <v>1</v>
      </c>
    </row>
    <row r="86" spans="18:20" x14ac:dyDescent="0.25">
      <c r="R86" s="5" t="s">
        <v>25</v>
      </c>
      <c r="S86" s="5">
        <v>8</v>
      </c>
    </row>
    <row r="88" spans="18:20" x14ac:dyDescent="0.25">
      <c r="R88" s="5" t="s">
        <v>92</v>
      </c>
    </row>
    <row r="89" spans="18:20" x14ac:dyDescent="0.25">
      <c r="R89" s="5" t="s">
        <v>17</v>
      </c>
      <c r="S89" s="5" t="s">
        <v>18</v>
      </c>
      <c r="T89" s="5">
        <v>6</v>
      </c>
    </row>
    <row r="90" spans="18:20" x14ac:dyDescent="0.25">
      <c r="R90" s="5" t="s">
        <v>25</v>
      </c>
      <c r="S90" s="5">
        <v>6</v>
      </c>
    </row>
    <row r="92" spans="18:20" x14ac:dyDescent="0.25">
      <c r="R92" s="5" t="s">
        <v>93</v>
      </c>
    </row>
    <row r="93" spans="18:20" x14ac:dyDescent="0.25">
      <c r="R93" s="5" t="s">
        <v>17</v>
      </c>
      <c r="S93" s="5" t="s">
        <v>18</v>
      </c>
      <c r="T93" s="5">
        <v>9</v>
      </c>
    </row>
    <row r="94" spans="18:20" x14ac:dyDescent="0.25">
      <c r="R94" s="5" t="s">
        <v>17</v>
      </c>
      <c r="S94" s="5" t="s">
        <v>55</v>
      </c>
      <c r="T94" s="5">
        <v>3</v>
      </c>
    </row>
    <row r="95" spans="18:20" x14ac:dyDescent="0.25">
      <c r="R95" s="5" t="s">
        <v>17</v>
      </c>
      <c r="S95" s="5" t="s">
        <v>94</v>
      </c>
      <c r="T95" s="5">
        <v>1</v>
      </c>
    </row>
    <row r="96" spans="18:20" x14ac:dyDescent="0.25">
      <c r="R96" s="5" t="s">
        <v>25</v>
      </c>
      <c r="S96" s="5">
        <v>13</v>
      </c>
    </row>
    <row r="98" spans="18:20" x14ac:dyDescent="0.25">
      <c r="R98" s="5" t="s">
        <v>95</v>
      </c>
    </row>
    <row r="99" spans="18:20" x14ac:dyDescent="0.25">
      <c r="R99" s="5" t="s">
        <v>17</v>
      </c>
      <c r="S99" s="5" t="s">
        <v>18</v>
      </c>
      <c r="T99" s="5">
        <v>49</v>
      </c>
    </row>
    <row r="100" spans="18:20" x14ac:dyDescent="0.25">
      <c r="R100" s="5" t="s">
        <v>17</v>
      </c>
      <c r="S100" s="5" t="s">
        <v>55</v>
      </c>
      <c r="T100" s="5">
        <v>1</v>
      </c>
    </row>
    <row r="101" spans="18:20" x14ac:dyDescent="0.25">
      <c r="R101" s="5" t="s">
        <v>17</v>
      </c>
      <c r="S101" s="5" t="s">
        <v>69</v>
      </c>
      <c r="T101" s="5">
        <v>2</v>
      </c>
    </row>
    <row r="102" spans="18:20" x14ac:dyDescent="0.25">
      <c r="R102" s="5" t="s">
        <v>25</v>
      </c>
      <c r="S102" s="5">
        <v>52</v>
      </c>
    </row>
    <row r="104" spans="18:20" x14ac:dyDescent="0.25">
      <c r="R104" s="5" t="s">
        <v>96</v>
      </c>
    </row>
    <row r="105" spans="18:20" x14ac:dyDescent="0.25">
      <c r="R105" s="5" t="s">
        <v>17</v>
      </c>
      <c r="S105" s="5" t="s">
        <v>18</v>
      </c>
      <c r="T105" s="5">
        <v>13</v>
      </c>
    </row>
    <row r="106" spans="18:20" x14ac:dyDescent="0.25">
      <c r="R106" s="5" t="s">
        <v>17</v>
      </c>
      <c r="S106" s="5" t="s">
        <v>55</v>
      </c>
      <c r="T106" s="5">
        <v>2</v>
      </c>
    </row>
    <row r="107" spans="18:20" x14ac:dyDescent="0.25">
      <c r="R107" s="5" t="s">
        <v>17</v>
      </c>
      <c r="S107" s="5" t="s">
        <v>69</v>
      </c>
      <c r="T107" s="5">
        <v>1</v>
      </c>
    </row>
    <row r="108" spans="18:20" x14ac:dyDescent="0.25">
      <c r="R108" s="5" t="s">
        <v>25</v>
      </c>
      <c r="S108" s="5">
        <v>16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03f5e42-87f2-47eb-a6b2-00e2eb10e1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3AD1B881B1C9449E7EE5184419541B" ma:contentTypeVersion="16" ma:contentTypeDescription="Create a new document." ma:contentTypeScope="" ma:versionID="564083180a842b9d3e97b82760d3f2b2">
  <xsd:schema xmlns:xsd="http://www.w3.org/2001/XMLSchema" xmlns:xs="http://www.w3.org/2001/XMLSchema" xmlns:p="http://schemas.microsoft.com/office/2006/metadata/properties" xmlns:ns3="f3892cb5-6eba-4ca6-81d7-333e33a4baa2" xmlns:ns4="503f5e42-87f2-47eb-a6b2-00e2eb10e156" targetNamespace="http://schemas.microsoft.com/office/2006/metadata/properties" ma:root="true" ma:fieldsID="3c8910154822c2aa1a4194fb58f46db6" ns3:_="" ns4:_="">
    <xsd:import namespace="f3892cb5-6eba-4ca6-81d7-333e33a4baa2"/>
    <xsd:import namespace="503f5e42-87f2-47eb-a6b2-00e2eb10e15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SearchProperties" minOccurs="0"/>
                <xsd:element ref="ns4:MediaServiceDateTake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892cb5-6eba-4ca6-81d7-333e33a4baa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f5e42-87f2-47eb-a6b2-00e2eb10e1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18CA69-E097-48B8-B0D6-9A35C0336DD5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503f5e42-87f2-47eb-a6b2-00e2eb10e156"/>
    <ds:schemaRef ds:uri="http://schemas.openxmlformats.org/package/2006/metadata/core-properties"/>
    <ds:schemaRef ds:uri="http://schemas.microsoft.com/office/infopath/2007/PartnerControls"/>
    <ds:schemaRef ds:uri="f3892cb5-6eba-4ca6-81d7-333e33a4baa2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4B40899-C6DB-413A-9CFC-ADFC77DEDC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3BFCB7-209D-4791-AF6C-E7D8EF52ED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892cb5-6eba-4ca6-81d7-333e33a4baa2"/>
    <ds:schemaRef ds:uri="503f5e42-87f2-47eb-a6b2-00e2eb10e1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Grizli777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Rowat, Darian</dc:creator>
  <cp:keywords/>
  <dc:description/>
  <cp:lastModifiedBy>Rowat, Darian</cp:lastModifiedBy>
  <cp:revision/>
  <dcterms:created xsi:type="dcterms:W3CDTF">2026-01-27T19:54:45Z</dcterms:created>
  <dcterms:modified xsi:type="dcterms:W3CDTF">2026-01-31T04:49:00Z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0x010100F43AD1B881B1C9449E7EE5184419541B</vt:lpwstr>
  </property>
</Properties>
</file>